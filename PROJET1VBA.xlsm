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 C\Desktop\M1\"/>
    </mc:Choice>
  </mc:AlternateContent>
  <bookViews>
    <workbookView xWindow="0" yWindow="0" windowWidth="20490" windowHeight="7155" activeTab="4"/>
  </bookViews>
  <sheets>
    <sheet name="A" sheetId="1" r:id="rId1"/>
    <sheet name="B" sheetId="2" r:id="rId2"/>
    <sheet name=" C" sheetId="3" r:id="rId3"/>
    <sheet name=" D" sheetId="4" r:id="rId4"/>
    <sheet name=" E" sheetId="5" r:id="rId5"/>
    <sheet name="Heatmap" sheetId="6" r:id="rId6"/>
    <sheet name="Diagramme circulaire" sheetId="9" r:id="rId7"/>
    <sheet name="prédiction A" sheetId="21" r:id="rId8"/>
    <sheet name="prédiction B" sheetId="23" r:id="rId9"/>
    <sheet name="prédiction C" sheetId="25" r:id="rId10"/>
    <sheet name="prédiction D" sheetId="26" r:id="rId11"/>
    <sheet name="prédictin E" sheetId="24" r:id="rId12"/>
  </sheets>
  <functionGroups builtInGroupCount="18"/>
  <definedNames>
    <definedName name="_xlnm._FilterDatabase" localSheetId="2" hidden="1">' C'!$A$1:$H$21</definedName>
    <definedName name="_xlnm._FilterDatabase" localSheetId="3" hidden="1">' D'!$A$1:$H$21</definedName>
    <definedName name="_xlnm._FilterDatabase" localSheetId="4" hidden="1">' E'!$A$1:$H$21</definedName>
    <definedName name="_xlnm._FilterDatabase" localSheetId="0" hidden="1">A!$A$1:$H$21</definedName>
    <definedName name="_xlnm._FilterDatabase" localSheetId="1" hidden="1">B!$A$1:$H$21</definedName>
    <definedName name="solver_adj" localSheetId="4" hidden="1">' E'!$A$14:$G$14</definedName>
    <definedName name="solver_adj" localSheetId="0" hidden="1">A!$A$3:$G$3</definedName>
    <definedName name="solver_adj" localSheetId="1" hidden="1">B!$A$2:$G$2</definedName>
    <definedName name="solver_adj" localSheetId="11" hidden="1">'prédictin E'!$A$10:$G$10</definedName>
    <definedName name="solver_adj" localSheetId="7" hidden="1">'prédiction A'!$A$15:$G$15</definedName>
    <definedName name="solver_adj" localSheetId="8" hidden="1">'prédiction B'!$A$13:$G$13</definedName>
    <definedName name="solver_adj" localSheetId="9" hidden="1">'prédiction C'!$A$13:$G$13</definedName>
    <definedName name="solver_adj" localSheetId="10" hidden="1">'prédiction D'!$A$14:$G$14</definedName>
    <definedName name="solver_cvg" localSheetId="4" hidden="1">0.0001</definedName>
    <definedName name="solver_cvg" localSheetId="0" hidden="1">0.0001</definedName>
    <definedName name="solver_cvg" localSheetId="1" hidden="1">0.0001</definedName>
    <definedName name="solver_cvg" localSheetId="11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drv" localSheetId="4" hidden="1">1</definedName>
    <definedName name="solver_drv" localSheetId="0" hidden="1">2</definedName>
    <definedName name="solver_drv" localSheetId="1" hidden="1">1</definedName>
    <definedName name="solver_drv" localSheetId="11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eng" localSheetId="4" hidden="1">1</definedName>
    <definedName name="solver_eng" localSheetId="0" hidden="1">1</definedName>
    <definedName name="solver_eng" localSheetId="1" hidden="1">1</definedName>
    <definedName name="solver_eng" localSheetId="11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0" hidden="1">1</definedName>
    <definedName name="solver_est" localSheetId="4" hidden="1">1</definedName>
    <definedName name="solver_est" localSheetId="0" hidden="1">1</definedName>
    <definedName name="solver_est" localSheetId="1" hidden="1">1</definedName>
    <definedName name="solver_est" localSheetId="11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itr" localSheetId="4" hidden="1">2147483647</definedName>
    <definedName name="solver_itr" localSheetId="0" hidden="1">2147483647</definedName>
    <definedName name="solver_itr" localSheetId="1" hidden="1">2147483647</definedName>
    <definedName name="solver_itr" localSheetId="11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0" hidden="1">2147483647</definedName>
    <definedName name="solver_mip" localSheetId="4" hidden="1">2147483647</definedName>
    <definedName name="solver_mip" localSheetId="0" hidden="1">2147483647</definedName>
    <definedName name="solver_mip" localSheetId="1" hidden="1">2147483647</definedName>
    <definedName name="solver_mip" localSheetId="11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ni" localSheetId="4" hidden="1">30</definedName>
    <definedName name="solver_mni" localSheetId="0" hidden="1">30</definedName>
    <definedName name="solver_mni" localSheetId="1" hidden="1">30</definedName>
    <definedName name="solver_mni" localSheetId="11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rt" localSheetId="4" hidden="1">0.075</definedName>
    <definedName name="solver_mrt" localSheetId="0" hidden="1">0.075</definedName>
    <definedName name="solver_mrt" localSheetId="1" hidden="1">0.075</definedName>
    <definedName name="solver_mrt" localSheetId="11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sl" localSheetId="4" hidden="1">2</definedName>
    <definedName name="solver_msl" localSheetId="0" hidden="1">2</definedName>
    <definedName name="solver_msl" localSheetId="1" hidden="1">2</definedName>
    <definedName name="solver_msl" localSheetId="11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neg" localSheetId="4" hidden="1">1</definedName>
    <definedName name="solver_neg" localSheetId="0" hidden="1">1</definedName>
    <definedName name="solver_neg" localSheetId="1" hidden="1">1</definedName>
    <definedName name="solver_neg" localSheetId="11" hidden="1">2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2</definedName>
    <definedName name="solver_nod" localSheetId="4" hidden="1">2147483647</definedName>
    <definedName name="solver_nod" localSheetId="0" hidden="1">2147483647</definedName>
    <definedName name="solver_nod" localSheetId="1" hidden="1">2147483647</definedName>
    <definedName name="solver_nod" localSheetId="11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um" localSheetId="4" hidden="1">0</definedName>
    <definedName name="solver_num" localSheetId="0" hidden="1">0</definedName>
    <definedName name="solver_num" localSheetId="1" hidden="1">0</definedName>
    <definedName name="solver_num" localSheetId="11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wt" localSheetId="4" hidden="1">1</definedName>
    <definedName name="solver_nwt" localSheetId="0" hidden="1">1</definedName>
    <definedName name="solver_nwt" localSheetId="1" hidden="1">1</definedName>
    <definedName name="solver_nwt" localSheetId="11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opt" localSheetId="4" hidden="1">' E'!$H$14</definedName>
    <definedName name="solver_opt" localSheetId="0" hidden="1">A!$H$3</definedName>
    <definedName name="solver_opt" localSheetId="1" hidden="1">B!$H$6</definedName>
    <definedName name="solver_opt" localSheetId="11" hidden="1">'prédictin E'!$H$10</definedName>
    <definedName name="solver_opt" localSheetId="7" hidden="1">'prédiction A'!$H$15</definedName>
    <definedName name="solver_opt" localSheetId="8" hidden="1">'prédiction B'!$H$13</definedName>
    <definedName name="solver_opt" localSheetId="9" hidden="1">'prédiction C'!$H$13</definedName>
    <definedName name="solver_opt" localSheetId="10" hidden="1">'prédiction D'!$H$14</definedName>
    <definedName name="solver_pre" localSheetId="4" hidden="1">0.000001</definedName>
    <definedName name="solver_pre" localSheetId="0" hidden="1">0.000001</definedName>
    <definedName name="solver_pre" localSheetId="1" hidden="1">0.000001</definedName>
    <definedName name="solver_pre" localSheetId="11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rbv" localSheetId="4" hidden="1">1</definedName>
    <definedName name="solver_rbv" localSheetId="0" hidden="1">2</definedName>
    <definedName name="solver_rbv" localSheetId="1" hidden="1">1</definedName>
    <definedName name="solver_rbv" localSheetId="11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0" hidden="1">1</definedName>
    <definedName name="solver_rlx" localSheetId="4" hidden="1">2</definedName>
    <definedName name="solver_rlx" localSheetId="0" hidden="1">2</definedName>
    <definedName name="solver_rlx" localSheetId="1" hidden="1">2</definedName>
    <definedName name="solver_rlx" localSheetId="11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sd" localSheetId="4" hidden="1">0</definedName>
    <definedName name="solver_rsd" localSheetId="0" hidden="1">0</definedName>
    <definedName name="solver_rsd" localSheetId="1" hidden="1">0</definedName>
    <definedName name="solver_rsd" localSheetId="11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scl" localSheetId="4" hidden="1">1</definedName>
    <definedName name="solver_scl" localSheetId="0" hidden="1">2</definedName>
    <definedName name="solver_scl" localSheetId="1" hidden="1">1</definedName>
    <definedName name="solver_scl" localSheetId="11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0" hidden="1">1</definedName>
    <definedName name="solver_sho" localSheetId="4" hidden="1">2</definedName>
    <definedName name="solver_sho" localSheetId="0" hidden="1">2</definedName>
    <definedName name="solver_sho" localSheetId="1" hidden="1">2</definedName>
    <definedName name="solver_sho" localSheetId="11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sz" localSheetId="4" hidden="1">100</definedName>
    <definedName name="solver_ssz" localSheetId="0" hidden="1">100</definedName>
    <definedName name="solver_ssz" localSheetId="1" hidden="1">100</definedName>
    <definedName name="solver_ssz" localSheetId="11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tim" localSheetId="4" hidden="1">2147483647</definedName>
    <definedName name="solver_tim" localSheetId="0" hidden="1">2147483647</definedName>
    <definedName name="solver_tim" localSheetId="1" hidden="1">2147483647</definedName>
    <definedName name="solver_tim" localSheetId="11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0" hidden="1">2147483647</definedName>
    <definedName name="solver_tol" localSheetId="4" hidden="1">0.01</definedName>
    <definedName name="solver_tol" localSheetId="0" hidden="1">0.01</definedName>
    <definedName name="solver_tol" localSheetId="1" hidden="1">0.01</definedName>
    <definedName name="solver_tol" localSheetId="11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0" hidden="1">0.01</definedName>
    <definedName name="solver_typ" localSheetId="4" hidden="1">3</definedName>
    <definedName name="solver_typ" localSheetId="0" hidden="1">3</definedName>
    <definedName name="solver_typ" localSheetId="1" hidden="1">3</definedName>
    <definedName name="solver_typ" localSheetId="11" hidden="1">3</definedName>
    <definedName name="solver_typ" localSheetId="7" hidden="1">3</definedName>
    <definedName name="solver_typ" localSheetId="8" hidden="1">3</definedName>
    <definedName name="solver_typ" localSheetId="9" hidden="1">3</definedName>
    <definedName name="solver_typ" localSheetId="10" hidden="1">3</definedName>
    <definedName name="solver_val" localSheetId="4" hidden="1">2.999</definedName>
    <definedName name="solver_val" localSheetId="0" hidden="1">2.999</definedName>
    <definedName name="solver_val" localSheetId="1" hidden="1">2.999</definedName>
    <definedName name="solver_val" localSheetId="11" hidden="1">2.99</definedName>
    <definedName name="solver_val" localSheetId="7" hidden="1">2.99</definedName>
    <definedName name="solver_val" localSheetId="8" hidden="1">2.99</definedName>
    <definedName name="solver_val" localSheetId="9" hidden="1">2.99</definedName>
    <definedName name="solver_val" localSheetId="10" hidden="1">2.99</definedName>
    <definedName name="solver_ver" localSheetId="4" hidden="1">3</definedName>
    <definedName name="solver_ver" localSheetId="0" hidden="1">3</definedName>
    <definedName name="solver_ver" localSheetId="1" hidden="1">3</definedName>
    <definedName name="solver_ver" localSheetId="11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9" l="1"/>
  <c r="B4" i="9"/>
  <c r="B2" i="9"/>
  <c r="H13" i="25"/>
  <c r="H3" i="25"/>
  <c r="H4" i="25"/>
  <c r="H5" i="25"/>
  <c r="H6" i="25"/>
  <c r="H7" i="25"/>
  <c r="H8" i="25"/>
  <c r="H9" i="25"/>
  <c r="H10" i="25"/>
  <c r="H11" i="25"/>
  <c r="H12" i="25"/>
  <c r="H2" i="25"/>
  <c r="H3" i="23"/>
  <c r="H4" i="23"/>
  <c r="H5" i="23"/>
  <c r="H6" i="23"/>
  <c r="H7" i="23"/>
  <c r="H8" i="23"/>
  <c r="H9" i="23"/>
  <c r="H10" i="23"/>
  <c r="H11" i="23"/>
  <c r="H12" i="23"/>
  <c r="H13" i="23"/>
  <c r="H2" i="23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H2" i="21"/>
  <c r="H10" i="24"/>
  <c r="H3" i="24"/>
  <c r="H4" i="24"/>
  <c r="H5" i="24"/>
  <c r="H6" i="24"/>
  <c r="H7" i="24"/>
  <c r="H8" i="24"/>
  <c r="H9" i="24"/>
  <c r="H11" i="24"/>
  <c r="H12" i="24"/>
  <c r="H13" i="24"/>
  <c r="H14" i="24"/>
  <c r="H15" i="24"/>
  <c r="H2" i="24"/>
  <c r="H14" i="26"/>
  <c r="H4" i="26"/>
  <c r="H5" i="26"/>
  <c r="H6" i="26"/>
  <c r="H7" i="26"/>
  <c r="H8" i="26"/>
  <c r="H9" i="26"/>
  <c r="H10" i="26"/>
  <c r="H11" i="26"/>
  <c r="H12" i="26"/>
  <c r="H13" i="26"/>
  <c r="H3" i="26"/>
  <c r="H3" i="5"/>
  <c r="H4" i="5"/>
  <c r="H5" i="5"/>
  <c r="H6" i="5"/>
  <c r="H7" i="5"/>
  <c r="H8" i="5"/>
  <c r="H9" i="5"/>
  <c r="H10" i="5"/>
  <c r="H11" i="5"/>
  <c r="H12" i="5"/>
  <c r="H13" i="5"/>
  <c r="H15" i="5"/>
  <c r="H16" i="5"/>
  <c r="H17" i="5"/>
  <c r="H18" i="5"/>
  <c r="H19" i="5"/>
  <c r="H20" i="5"/>
  <c r="H21" i="5"/>
  <c r="H2" i="5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" i="3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1"/>
  <c r="H20" i="1"/>
  <c r="H18" i="1"/>
  <c r="H11" i="1"/>
  <c r="H6" i="1"/>
  <c r="H5" i="1"/>
  <c r="H4" i="1"/>
  <c r="H7" i="1"/>
  <c r="H8" i="1"/>
  <c r="H9" i="1"/>
  <c r="H10" i="1"/>
  <c r="H12" i="1"/>
  <c r="H13" i="1"/>
  <c r="H14" i="1"/>
  <c r="H15" i="1"/>
  <c r="H16" i="1"/>
  <c r="H17" i="1"/>
  <c r="H19" i="1"/>
  <c r="H21" i="1"/>
  <c r="H3" i="1"/>
  <c r="H14" i="5"/>
</calcChain>
</file>

<file path=xl/sharedStrings.xml><?xml version="1.0" encoding="utf-8"?>
<sst xmlns="http://schemas.openxmlformats.org/spreadsheetml/2006/main" count="90" uniqueCount="20">
  <si>
    <t>CC</t>
  </si>
  <si>
    <t>PR</t>
  </si>
  <si>
    <t>TA</t>
  </si>
  <si>
    <t>PFI</t>
  </si>
  <si>
    <t>CB</t>
  </si>
  <si>
    <t>VCP</t>
  </si>
  <si>
    <t>V</t>
  </si>
  <si>
    <t>score Z</t>
  </si>
  <si>
    <t>Zone A</t>
  </si>
  <si>
    <t>Zone B</t>
  </si>
  <si>
    <t>Zone C</t>
  </si>
  <si>
    <t>Zone D</t>
  </si>
  <si>
    <t>Zone E</t>
  </si>
  <si>
    <t>Dossier</t>
  </si>
  <si>
    <t>Nombre</t>
  </si>
  <si>
    <t>Acceptés</t>
  </si>
  <si>
    <t>Rejetés</t>
  </si>
  <si>
    <t>incertitudes</t>
  </si>
  <si>
    <t>Score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</si>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</sst>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A950"/>
      <color rgb="FF00AF50"/>
      <color rgb="FF005450"/>
      <color rgb="FF00E1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FF0000"/>
            </a:solidFill>
            <a:ln>
              <a:solidFill>
                <a:srgbClr val="00A950"/>
              </a:solidFill>
            </a:ln>
          </c:spPr>
          <c:dPt>
            <c:idx val="0"/>
            <c:bubble3D val="0"/>
            <c:explosion val="30"/>
            <c:spPr>
              <a:solidFill>
                <a:srgbClr val="00AF50"/>
              </a:solidFill>
              <a:ln>
                <a:solidFill>
                  <a:srgbClr val="00A950"/>
                </a:solidFill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>
                <a:contourClr>
                  <a:srgbClr val="00A950"/>
                </a:contourClr>
              </a:sp3d>
            </c:spPr>
          </c:dPt>
          <c:dPt>
            <c:idx val="1"/>
            <c:bubble3D val="0"/>
            <c:explosion val="3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>
                <a:contourClr>
                  <a:srgbClr val="FF0000"/>
                </a:contourClr>
              </a:sp3d>
            </c:spPr>
          </c:dPt>
          <c:dPt>
            <c:idx val="2"/>
            <c:bubble3D val="0"/>
            <c:explosion val="3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>
                <a:contourClr>
                  <a:srgbClr val="FFFF00"/>
                </a:contourClr>
              </a:sp3d>
            </c:spPr>
          </c:dPt>
          <c:dLbls>
            <c:dLbl>
              <c:idx val="0"/>
              <c:layout>
                <c:manualLayout>
                  <c:x val="-0.10686832895888014"/>
                  <c:y val="5.3316564596092159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37</a:t>
                    </a:r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3.3188976377952757E-3"/>
                  <c:y val="-0.23806321084864393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26</a:t>
                    </a:r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625831146106732"/>
                  <c:y val="6.027996500437445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37</a:t>
                    </a:r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'Diagramme circulaire'!$A$2:$A$4</c:f>
              <c:strCache>
                <c:ptCount val="3"/>
                <c:pt idx="0">
                  <c:v>Acceptés</c:v>
                </c:pt>
                <c:pt idx="1">
                  <c:v>Rejetés</c:v>
                </c:pt>
                <c:pt idx="2">
                  <c:v>incertitudes</c:v>
                </c:pt>
              </c:strCache>
            </c:strRef>
          </c:cat>
          <c:val>
            <c:numRef>
              <c:f>'Diagramme circulaire'!$B$2:$B$4</c:f>
              <c:numCache>
                <c:formatCode>General</c:formatCode>
                <c:ptCount val="3"/>
                <c:pt idx="0">
                  <c:v>37</c:v>
                </c:pt>
                <c:pt idx="1">
                  <c:v>26</c:v>
                </c:pt>
                <c:pt idx="2">
                  <c:v>37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461962</xdr:colOff>
      <xdr:row>2</xdr:row>
      <xdr:rowOff>52387</xdr:rowOff>
    </xdr:from>
    <xdr:to>
      <xdr:col>10</xdr:col>
      <xdr:colOff>461962</xdr:colOff>
      <xdr:row>16</xdr:row>
      <xdr:rowOff>128587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21"/>
  <sheetViews>
    <sheetView workbookViewId="0">
      <selection activeCell="J10" sqref="J10"/>
    </sheetView>
  </sheetViews>
  <sheetFormatPr baseColWidth="10" defaultRowHeight="15" x14ac:dyDescent="0.25"/>
  <cols>
    <col min="2" max="7" width="11.42578125" style="1"/>
  </cols>
  <sheetData>
    <row r="1" spans="1:8" x14ac:dyDescent="0.2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H2">
        <f>Score_Altman(A2,C2,B2,D2,E2,F2,G2)</f>
        <v>3.7256641387939453</v>
      </c>
    </row>
    <row r="3" spans="1:8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H3">
        <f t="shared" ref="H3:H21" si="0">Score_Altman(A3,C3,B3,D3,E3,F3,G3)</f>
        <v>2.022815465927124</v>
      </c>
    </row>
    <row r="4" spans="1:8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 t="shared" si="0"/>
        <v>1.0524954795837402</v>
      </c>
    </row>
    <row r="5" spans="1:8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H5">
        <f t="shared" si="0"/>
        <v>5.4192872047424316</v>
      </c>
    </row>
    <row r="6" spans="1:8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H6">
        <f t="shared" si="0"/>
        <v>3.4672293663024902</v>
      </c>
    </row>
    <row r="7" spans="1:8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H7">
        <f t="shared" si="0"/>
        <v>2.4969499111175537</v>
      </c>
    </row>
    <row r="8" spans="1:8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H8">
        <f t="shared" si="0"/>
        <v>2.5531637668609619</v>
      </c>
    </row>
    <row r="9" spans="1:8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H9">
        <f t="shared" si="0"/>
        <v>1.3520263433456421</v>
      </c>
    </row>
    <row r="10" spans="1:8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H10">
        <f t="shared" si="0"/>
        <v>1.9715535640716553</v>
      </c>
    </row>
    <row r="11" spans="1:8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H11">
        <f t="shared" si="0"/>
        <v>4.123044490814209</v>
      </c>
    </row>
    <row r="12" spans="1:8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H12">
        <f t="shared" si="0"/>
        <v>0.68745297193527222</v>
      </c>
    </row>
    <row r="13" spans="1:8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H13">
        <f t="shared" si="0"/>
        <v>1.7693206071853638</v>
      </c>
    </row>
    <row r="14" spans="1:8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H14">
        <f t="shared" si="0"/>
        <v>1.1813898086547852</v>
      </c>
    </row>
    <row r="15" spans="1:8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H15">
        <f t="shared" si="0"/>
        <v>0.67225229740142822</v>
      </c>
    </row>
    <row r="16" spans="1:8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H16">
        <f t="shared" si="0"/>
        <v>2.7409627437591553</v>
      </c>
    </row>
    <row r="17" spans="1:8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H17">
        <f t="shared" si="0"/>
        <v>2.9628114700317383</v>
      </c>
    </row>
    <row r="18" spans="1:8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H18">
        <f t="shared" si="0"/>
        <v>3.528620719909668</v>
      </c>
    </row>
    <row r="19" spans="1:8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H19">
        <f t="shared" si="0"/>
        <v>1.9019956588745117</v>
      </c>
    </row>
    <row r="20" spans="1:8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H20">
        <f t="shared" si="0"/>
        <v>3.1514401435852051</v>
      </c>
    </row>
    <row r="21" spans="1:8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H21">
        <f t="shared" si="0"/>
        <v>0.45246067643165588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21"/>
  <sheetViews>
    <sheetView workbookViewId="0">
      <selection activeCell="K11" sqref="K1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H2">
        <f>Score_Altman(A2,C2,B2,D2,E2,F2,G2)</f>
        <v>2.4137012958526611</v>
      </c>
    </row>
    <row r="3" spans="1:8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H3">
        <f t="shared" ref="H3:H21" si="0">Score_Altman(A3,C3,B3,D3,E3,F3,G3)</f>
        <v>2.8205032348632812</v>
      </c>
    </row>
    <row r="4" spans="1:8" ht="15" customHeight="1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H4">
        <f t="shared" si="0"/>
        <v>3.565223217010498</v>
      </c>
    </row>
    <row r="5" spans="1:8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H5">
        <f t="shared" si="0"/>
        <v>-0.36182078719139099</v>
      </c>
    </row>
    <row r="6" spans="1:8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H6">
        <f t="shared" si="0"/>
        <v>0.27851366996765137</v>
      </c>
    </row>
    <row r="7" spans="1:8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H7">
        <f t="shared" si="0"/>
        <v>2.8743009567260742</v>
      </c>
    </row>
    <row r="8" spans="1:8" ht="15" customHeight="1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H8">
        <f t="shared" si="0"/>
        <v>4.3861017227172852</v>
      </c>
    </row>
    <row r="9" spans="1:8" ht="15" customHeight="1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H9">
        <f t="shared" si="0"/>
        <v>3.0959086418151855</v>
      </c>
    </row>
    <row r="10" spans="1:8" ht="15" customHeight="1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H10">
        <f t="shared" si="0"/>
        <v>4.418001651763916</v>
      </c>
    </row>
    <row r="11" spans="1:8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H11">
        <f t="shared" si="0"/>
        <v>2.1980204582214355</v>
      </c>
    </row>
    <row r="12" spans="1:8" ht="15" customHeight="1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H12">
        <f t="shared" si="0"/>
        <v>3.1656270027160645</v>
      </c>
    </row>
    <row r="13" spans="1:8" ht="15" customHeight="1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H13">
        <f t="shared" si="0"/>
        <v>4.7870488166809082</v>
      </c>
    </row>
    <row r="14" spans="1:8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H14">
        <f t="shared" si="0"/>
        <v>1.7794226408004761</v>
      </c>
    </row>
    <row r="15" spans="1:8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H15">
        <f t="shared" si="0"/>
        <v>2.1461522579193115</v>
      </c>
    </row>
    <row r="16" spans="1:8" ht="15" customHeight="1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H16">
        <f t="shared" si="0"/>
        <v>3.6417555809020996</v>
      </c>
    </row>
    <row r="17" spans="1:8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H17">
        <f t="shared" si="0"/>
        <v>0.92058455944061279</v>
      </c>
    </row>
    <row r="18" spans="1:8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H18">
        <f t="shared" si="0"/>
        <v>2.7479305267333984</v>
      </c>
    </row>
    <row r="19" spans="1:8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H19">
        <f t="shared" si="0"/>
        <v>1.0453681945800781</v>
      </c>
    </row>
    <row r="20" spans="1:8" ht="15" customHeight="1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H20">
        <f t="shared" si="0"/>
        <v>4.5444855690002441</v>
      </c>
    </row>
    <row r="21" spans="1:8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H21">
        <f t="shared" si="0"/>
        <v>2.5016484260559082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21"/>
  <sheetViews>
    <sheetView workbookViewId="0">
      <selection activeCell="J11" sqref="J1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H2">
        <f>Score_Altman(A2,C2,B2,D2,E2,F2,G2)</f>
        <v>2.9483926296234131</v>
      </c>
    </row>
    <row r="3" spans="1:8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H3">
        <f t="shared" ref="H3:H21" si="0">Score_Altman(A3,C3,B3,D3,E3,F3,G3)</f>
        <v>2.7667081356048584</v>
      </c>
    </row>
    <row r="4" spans="1:8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H4">
        <f t="shared" si="0"/>
        <v>1.4511764049530029</v>
      </c>
    </row>
    <row r="5" spans="1:8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H5">
        <f t="shared" si="0"/>
        <v>2.952761173248291</v>
      </c>
    </row>
    <row r="6" spans="1:8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H6">
        <f t="shared" si="0"/>
        <v>3.6642277240753174</v>
      </c>
    </row>
    <row r="7" spans="1:8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H7">
        <f t="shared" si="0"/>
        <v>3.6008048057556152</v>
      </c>
    </row>
    <row r="8" spans="1:8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H8">
        <f t="shared" si="0"/>
        <v>1.2714110612869263</v>
      </c>
    </row>
    <row r="9" spans="1:8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H9">
        <f t="shared" si="0"/>
        <v>4.1120271682739258</v>
      </c>
    </row>
    <row r="10" spans="1:8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H10">
        <f t="shared" si="0"/>
        <v>1.9469759464263916</v>
      </c>
    </row>
    <row r="11" spans="1:8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H11">
        <f t="shared" si="0"/>
        <v>1.8111437559127808</v>
      </c>
    </row>
    <row r="12" spans="1:8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H12">
        <f t="shared" si="0"/>
        <v>2.3347156047821045</v>
      </c>
    </row>
    <row r="13" spans="1:8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H13">
        <f t="shared" si="0"/>
        <v>1.0297422409057617</v>
      </c>
    </row>
    <row r="14" spans="1:8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H14">
        <f t="shared" si="0"/>
        <v>4.1155362129211426</v>
      </c>
    </row>
    <row r="15" spans="1:8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H15">
        <f t="shared" si="0"/>
        <v>2.4772210121154785</v>
      </c>
    </row>
    <row r="16" spans="1:8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H16">
        <f t="shared" si="0"/>
        <v>3.2721717357635498</v>
      </c>
    </row>
    <row r="17" spans="1:8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H17">
        <f t="shared" si="0"/>
        <v>-0.84737223386764526</v>
      </c>
    </row>
    <row r="18" spans="1:8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H18">
        <f t="shared" si="0"/>
        <v>5.2657809257507324</v>
      </c>
    </row>
    <row r="19" spans="1:8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H19">
        <f t="shared" si="0"/>
        <v>3.4142665863037109</v>
      </c>
    </row>
    <row r="20" spans="1:8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1.4701665639877319</v>
      </c>
    </row>
    <row r="21" spans="1:8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H21">
        <f t="shared" si="0"/>
        <v>3.3947584629058838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21"/>
  <sheetViews>
    <sheetView workbookViewId="0">
      <selection activeCell="J8" sqref="J8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H2">
        <f>Score_Altman(A2,C2,B2,D2,E2,F2,G2)</f>
        <v>4.1739168167114258</v>
      </c>
    </row>
    <row r="3" spans="1:8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H3">
        <f t="shared" ref="H3:H21" si="0">Score_Altman(A3,C3,B3,D3,E3,F3,G3)</f>
        <v>2.0759503841400146</v>
      </c>
    </row>
    <row r="4" spans="1:8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H4">
        <f t="shared" si="0"/>
        <v>2.0626347064971924</v>
      </c>
    </row>
    <row r="5" spans="1:8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H5">
        <f t="shared" si="0"/>
        <v>1.8341424465179443</v>
      </c>
    </row>
    <row r="6" spans="1:8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H6">
        <f t="shared" si="0"/>
        <v>2.307793140411377</v>
      </c>
    </row>
    <row r="7" spans="1:8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H7">
        <f t="shared" si="0"/>
        <v>1.5192086696624756</v>
      </c>
    </row>
    <row r="8" spans="1:8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H8">
        <f t="shared" si="0"/>
        <v>4.7233610153198242</v>
      </c>
    </row>
    <row r="9" spans="1:8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H9">
        <f t="shared" si="0"/>
        <v>0.32120543718338013</v>
      </c>
    </row>
    <row r="10" spans="1:8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H10">
        <f t="shared" si="0"/>
        <v>3.4297471046447754</v>
      </c>
    </row>
    <row r="11" spans="1:8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H11">
        <f t="shared" si="0"/>
        <v>2.8166186809539795</v>
      </c>
    </row>
    <row r="12" spans="1:8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H12">
        <f t="shared" si="0"/>
        <v>3.2431461811065674</v>
      </c>
    </row>
    <row r="13" spans="1:8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H13">
        <f t="shared" si="0"/>
        <v>0.52165806293487549</v>
      </c>
    </row>
    <row r="14" spans="1:8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H14">
        <f t="shared" si="0"/>
        <v>2.217679500579834</v>
      </c>
    </row>
    <row r="15" spans="1:8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H15">
        <f t="shared" si="0"/>
        <v>1.6434558629989624</v>
      </c>
    </row>
    <row r="16" spans="1:8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H16">
        <f t="shared" si="0"/>
        <v>3.9256742000579834</v>
      </c>
    </row>
    <row r="17" spans="1:8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H17">
        <f t="shared" si="0"/>
        <v>5.4616179466247559</v>
      </c>
    </row>
    <row r="18" spans="1:8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H18">
        <f t="shared" si="0"/>
        <v>3.2767207622528076</v>
      </c>
    </row>
    <row r="19" spans="1:8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H19">
        <f t="shared" si="0"/>
        <v>1.4487523585557938E-2</v>
      </c>
    </row>
    <row r="20" spans="1:8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H20">
        <f t="shared" si="0"/>
        <v>4.8117165565490723</v>
      </c>
    </row>
    <row r="21" spans="1:8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H21">
        <f t="shared" si="0"/>
        <v>0.47210267186164856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21"/>
  <sheetViews>
    <sheetView tabSelected="1" workbookViewId="0">
      <selection activeCell="I9" sqref="I9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H2">
        <f>Score_Altman(A2,C2,B2,D2,E2,F2,G2)</f>
        <v>1.9832099676132202</v>
      </c>
    </row>
    <row r="3" spans="1:8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H3">
        <f t="shared" ref="H3:H21" si="0">Score_Altman(A3,C3,B3,D3,E3,F3,G3)</f>
        <v>1.8710780143737793</v>
      </c>
    </row>
    <row r="4" spans="1:8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H4">
        <f t="shared" si="0"/>
        <v>2.3830842971801758</v>
      </c>
    </row>
    <row r="5" spans="1:8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H5">
        <f t="shared" si="0"/>
        <v>1.9260387420654297</v>
      </c>
    </row>
    <row r="6" spans="1:8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H6">
        <f t="shared" si="0"/>
        <v>3.0554437637329102</v>
      </c>
    </row>
    <row r="7" spans="1:8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H7">
        <f t="shared" si="0"/>
        <v>4.7247462272644043</v>
      </c>
    </row>
    <row r="8" spans="1:8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H8">
        <f t="shared" si="0"/>
        <v>0.95832449197769165</v>
      </c>
    </row>
    <row r="9" spans="1:8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H9">
        <f t="shared" si="0"/>
        <v>2.1409313678741455</v>
      </c>
    </row>
    <row r="10" spans="1:8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H10">
        <f t="shared" si="0"/>
        <v>3.6481287479400635</v>
      </c>
    </row>
    <row r="11" spans="1:8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H11">
        <f t="shared" si="0"/>
        <v>1.3651108741760254</v>
      </c>
    </row>
    <row r="12" spans="1:8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H12">
        <f t="shared" si="0"/>
        <v>4.3085417747497559</v>
      </c>
    </row>
    <row r="13" spans="1:8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H13">
        <f t="shared" si="0"/>
        <v>2.1049706935882568</v>
      </c>
    </row>
    <row r="14" spans="1:8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H14">
        <f t="shared" si="0"/>
        <v>0.28634783625602722</v>
      </c>
    </row>
    <row r="15" spans="1:8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H15">
        <f t="shared" si="0"/>
        <v>4.4920773506164551</v>
      </c>
    </row>
    <row r="16" spans="1:8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H16">
        <f t="shared" si="0"/>
        <v>2.9552919864654541</v>
      </c>
    </row>
    <row r="17" spans="1:8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H17">
        <f t="shared" si="0"/>
        <v>3.0442209243774414</v>
      </c>
    </row>
    <row r="18" spans="1:8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H18">
        <f t="shared" si="0"/>
        <v>1.148442268371582</v>
      </c>
    </row>
    <row r="19" spans="1:8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H19">
        <f t="shared" si="0"/>
        <v>1.8822647333145142</v>
      </c>
    </row>
    <row r="20" spans="1:8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H20">
        <f t="shared" si="0"/>
        <v>2.0136187076568604</v>
      </c>
    </row>
    <row r="21" spans="1:8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H21">
        <f t="shared" si="0"/>
        <v>2.0531032085418701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21"/>
  <sheetViews>
    <sheetView workbookViewId="0">
      <selection activeCell="N19" sqref="N19"/>
    </sheetView>
  </sheetViews>
  <sheetFormatPr baseColWidth="10" defaultRowHeight="15" x14ac:dyDescent="0.25"/>
  <sheetData>
    <row r="1" spans="1:5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</row>
    <row r="2" spans="1:5" x14ac:dyDescent="0.25">
      <c r="A2">
        <v>3.72566424</v>
      </c>
      <c r="B2">
        <v>2.4137013</v>
      </c>
      <c r="C2">
        <v>2.9483926299999998</v>
      </c>
      <c r="D2">
        <v>4.1739168199999996</v>
      </c>
      <c r="E2">
        <v>1.9832099700000001</v>
      </c>
    </row>
    <row r="3" spans="1:5" x14ac:dyDescent="0.25">
      <c r="A3">
        <v>2.0228154699999998</v>
      </c>
      <c r="B3">
        <v>2.8205032299999999</v>
      </c>
      <c r="C3">
        <v>2.76670814</v>
      </c>
      <c r="D3">
        <v>2.0759503800000001</v>
      </c>
      <c r="E3">
        <v>1.87107801</v>
      </c>
    </row>
    <row r="4" spans="1:5" x14ac:dyDescent="0.25">
      <c r="A4">
        <v>1.0524954799999999</v>
      </c>
      <c r="B4">
        <v>3.56522322</v>
      </c>
      <c r="C4">
        <v>1.4511764</v>
      </c>
      <c r="D4">
        <v>2.0626347100000002</v>
      </c>
      <c r="E4">
        <v>2.3830843000000002</v>
      </c>
    </row>
    <row r="5" spans="1:5" x14ac:dyDescent="0.25">
      <c r="A5">
        <v>5.4192872000000003</v>
      </c>
      <c r="B5">
        <v>-0.36182079</v>
      </c>
      <c r="C5">
        <v>2.95276117</v>
      </c>
      <c r="D5">
        <v>1.8341424500000001</v>
      </c>
      <c r="E5">
        <v>1.9260387400000001</v>
      </c>
    </row>
    <row r="6" spans="1:5" x14ac:dyDescent="0.25">
      <c r="A6">
        <v>3.4672293700000001</v>
      </c>
      <c r="B6">
        <v>0.27851366999999999</v>
      </c>
      <c r="C6">
        <v>3.66422772</v>
      </c>
      <c r="D6">
        <v>2.3077931399999998</v>
      </c>
      <c r="E6">
        <v>3.0554437600000002</v>
      </c>
    </row>
    <row r="7" spans="1:5" x14ac:dyDescent="0.25">
      <c r="A7">
        <v>2.4969499100000001</v>
      </c>
      <c r="B7">
        <v>2.8743009599999998</v>
      </c>
      <c r="C7">
        <v>3.6008048100000001</v>
      </c>
      <c r="D7">
        <v>1.51920867</v>
      </c>
      <c r="E7">
        <v>4.72474623</v>
      </c>
    </row>
    <row r="8" spans="1:5" x14ac:dyDescent="0.25">
      <c r="A8">
        <v>2.5531637699999998</v>
      </c>
      <c r="B8">
        <v>4.3861017200000001</v>
      </c>
      <c r="C8">
        <v>1.2714110599999999</v>
      </c>
      <c r="D8">
        <v>4.7233610199999996</v>
      </c>
      <c r="E8">
        <v>0.95832448999999997</v>
      </c>
    </row>
    <row r="9" spans="1:5" x14ac:dyDescent="0.25">
      <c r="A9">
        <v>1.3520263400000001</v>
      </c>
      <c r="B9">
        <v>3.0959086400000002</v>
      </c>
      <c r="C9">
        <v>4.1120271700000002</v>
      </c>
      <c r="D9">
        <v>0.32120544000000001</v>
      </c>
      <c r="E9">
        <v>2.1409313700000001</v>
      </c>
    </row>
    <row r="10" spans="1:5" x14ac:dyDescent="0.25">
      <c r="A10">
        <v>1.97155356</v>
      </c>
      <c r="B10">
        <v>4.4180016499999999</v>
      </c>
      <c r="C10">
        <v>1.9469759499999999</v>
      </c>
      <c r="D10">
        <v>3.4297471000000002</v>
      </c>
      <c r="E10">
        <v>3.6481287500000001</v>
      </c>
    </row>
    <row r="11" spans="1:5" x14ac:dyDescent="0.25">
      <c r="A11">
        <v>4.1230444899999998</v>
      </c>
      <c r="B11">
        <v>2.19802046</v>
      </c>
      <c r="C11">
        <v>1.81114376</v>
      </c>
      <c r="D11">
        <v>2.8166186799999999</v>
      </c>
      <c r="E11">
        <v>1.3651108700000001</v>
      </c>
    </row>
    <row r="12" spans="1:5" x14ac:dyDescent="0.25">
      <c r="A12">
        <v>0.68745297000000005</v>
      </c>
      <c r="B12">
        <v>3.1656270000000002</v>
      </c>
      <c r="C12">
        <v>2.3347156</v>
      </c>
      <c r="D12">
        <v>3.2431461800000001</v>
      </c>
      <c r="E12">
        <v>4.3085417699999997</v>
      </c>
    </row>
    <row r="13" spans="1:5" x14ac:dyDescent="0.25">
      <c r="A13">
        <v>1.7693206100000001</v>
      </c>
      <c r="B13">
        <v>4.7870488199999999</v>
      </c>
      <c r="C13">
        <v>1.02974224</v>
      </c>
      <c r="D13">
        <v>0.52165806000000003</v>
      </c>
      <c r="E13">
        <v>2.10497069</v>
      </c>
    </row>
    <row r="14" spans="1:5" x14ac:dyDescent="0.25">
      <c r="A14">
        <v>1.18138981</v>
      </c>
      <c r="B14">
        <v>1.7794226399999999</v>
      </c>
      <c r="C14">
        <v>4.1155362100000001</v>
      </c>
      <c r="D14">
        <v>2.2176795</v>
      </c>
      <c r="E14">
        <v>0.28634784000000002</v>
      </c>
    </row>
    <row r="15" spans="1:5" x14ac:dyDescent="0.25">
      <c r="A15">
        <v>0.67225230000000002</v>
      </c>
      <c r="B15">
        <v>2.14615226</v>
      </c>
      <c r="C15">
        <v>2.4772210100000001</v>
      </c>
      <c r="D15">
        <v>1.64345586</v>
      </c>
      <c r="E15">
        <v>4.4920773499999997</v>
      </c>
    </row>
    <row r="16" spans="1:5" x14ac:dyDescent="0.25">
      <c r="A16">
        <v>2.7409627400000001</v>
      </c>
      <c r="B16">
        <v>3.6417555799999999</v>
      </c>
      <c r="C16">
        <v>3.2721717400000001</v>
      </c>
      <c r="D16">
        <v>3.9256742</v>
      </c>
      <c r="E16">
        <v>2.9552919900000001</v>
      </c>
    </row>
    <row r="17" spans="1:5" x14ac:dyDescent="0.25">
      <c r="A17">
        <v>2.9628114700000001</v>
      </c>
      <c r="B17">
        <v>0.92058456</v>
      </c>
      <c r="C17">
        <v>-0.84737222999999995</v>
      </c>
      <c r="D17">
        <v>5.4616179499999999</v>
      </c>
      <c r="E17">
        <v>3.0442209199999999</v>
      </c>
    </row>
    <row r="18" spans="1:5" x14ac:dyDescent="0.25">
      <c r="A18">
        <v>3.5286207200000002</v>
      </c>
      <c r="B18">
        <v>2.7479305300000001</v>
      </c>
      <c r="C18">
        <v>5.26578093</v>
      </c>
      <c r="D18">
        <v>3.2767207599999999</v>
      </c>
      <c r="E18">
        <v>1.1484422700000001</v>
      </c>
    </row>
    <row r="19" spans="1:5" x14ac:dyDescent="0.25">
      <c r="A19">
        <v>1.9019956600000001</v>
      </c>
      <c r="B19">
        <v>1.04536819</v>
      </c>
      <c r="C19">
        <v>3.41426659</v>
      </c>
      <c r="D19">
        <v>3.0144875199999999</v>
      </c>
      <c r="E19">
        <v>1.8822647299999999</v>
      </c>
    </row>
    <row r="20" spans="1:5" x14ac:dyDescent="0.25">
      <c r="A20">
        <v>3.1514401400000001</v>
      </c>
      <c r="B20">
        <v>4.54448557</v>
      </c>
      <c r="C20">
        <v>1.47016656</v>
      </c>
      <c r="D20">
        <v>4.8117165599999998</v>
      </c>
      <c r="E20">
        <v>2.0136187099999998</v>
      </c>
    </row>
    <row r="21" spans="1:5" x14ac:dyDescent="0.25">
      <c r="A21">
        <v>0.45246068</v>
      </c>
      <c r="B21">
        <v>2.5016484299999999</v>
      </c>
      <c r="C21">
        <v>3.3947584599999998</v>
      </c>
      <c r="D21">
        <v>0.47210267</v>
      </c>
      <c r="E21">
        <v>2.0531032100000002</v>
      </c>
    </row>
  </sheetData>
  <conditionalFormatting sqref="A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E21 A22:D22">
    <cfRule type="colorScale" priority="6">
      <colorScale>
        <cfvo type="min"/>
        <cfvo type="num" val="&quot;1.81 à 2.99&quot;"/>
        <cfvo type="max"/>
        <color rgb="FF63BE7B"/>
        <color rgb="FFFFEB84"/>
        <color rgb="FFF8696B"/>
      </colorScale>
    </cfRule>
  </conditionalFormatting>
  <conditionalFormatting sqref="A2:E21 A22:D22">
    <cfRule type="colorScale" priority="2">
      <colorScale>
        <cfvo type="min"/>
        <cfvo type="num" val="3"/>
        <cfvo type="max"/>
        <color rgb="FFC00000"/>
        <color rgb="FFFFEB84"/>
        <color rgb="FF00A950"/>
      </colorScale>
    </cfRule>
    <cfRule type="cellIs" dxfId="0" priority="5" operator="lessThan">
      <formula>0</formula>
    </cfRule>
  </conditionalFormatting>
  <conditionalFormatting sqref="A1:E21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4"/>
  <sheetViews>
    <sheetView workbookViewId="0">
      <selection activeCell="J19" sqref="J19"/>
    </sheetView>
  </sheetViews>
  <sheetFormatPr baseColWidth="10" defaultRowHeight="15" x14ac:dyDescent="0.25"/>
  <sheetData>
    <row r="1" spans="1:2" x14ac:dyDescent="0.25">
      <c r="A1" s="2" t="s">
        <v>13</v>
      </c>
      <c r="B1" s="2" t="s">
        <v>14</v>
      </c>
    </row>
    <row r="2" spans="1:2" x14ac:dyDescent="0.25">
      <c r="A2" s="2" t="s">
        <v>15</v>
      </c>
      <c r="B2" s="2">
        <f>COUNTIF(Heatmap!A2:E21,"&gt;=2,99")</f>
        <v>37</v>
      </c>
    </row>
    <row r="3" spans="1:2" x14ac:dyDescent="0.25">
      <c r="A3" s="2" t="s">
        <v>16</v>
      </c>
      <c r="B3" s="2">
        <f>COUNTIF(Heatmap!A2:E21,"&lt;=1,811111")</f>
        <v>26</v>
      </c>
    </row>
    <row r="4" spans="1:2" x14ac:dyDescent="0.25">
      <c r="A4" s="2" t="s">
        <v>17</v>
      </c>
      <c r="B4" s="2">
        <f>100-(B2+B3)</f>
        <v>37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activeCell="H15" sqref="H15"/>
    </sheetView>
  </sheetViews>
  <sheetFormatPr baseColWidth="10" defaultRowHeight="15" x14ac:dyDescent="0.25"/>
  <sheetData>
    <row r="1" spans="1:8" x14ac:dyDescent="0.2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25099</v>
      </c>
      <c r="B2" s="1">
        <v>5061445.9236302674</v>
      </c>
      <c r="C2" s="1">
        <v>10060254.843074789</v>
      </c>
      <c r="D2" s="1">
        <v>5347897.1249072617</v>
      </c>
      <c r="E2" s="1">
        <v>304782</v>
      </c>
      <c r="F2" s="1">
        <v>13541456</v>
      </c>
      <c r="G2" s="1">
        <v>5275905.0211742138</v>
      </c>
      <c r="H2">
        <f>Score_Altman(A2,C2,B2,D2,E2,F2,G2)</f>
        <v>2.9989986419677734</v>
      </c>
    </row>
    <row r="3" spans="1:8" x14ac:dyDescent="0.25">
      <c r="A3" s="1">
        <v>6485464.5686103702</v>
      </c>
      <c r="B3" s="1">
        <v>3460994.8454174115</v>
      </c>
      <c r="C3" s="1">
        <v>9613195.5286547877</v>
      </c>
      <c r="D3" s="1">
        <v>3696044.2301462335</v>
      </c>
      <c r="E3" s="1">
        <v>123104</v>
      </c>
      <c r="F3" s="1">
        <v>18289441.041831225</v>
      </c>
      <c r="G3" s="1">
        <v>3883612.6724652709</v>
      </c>
      <c r="H3">
        <f t="shared" ref="H3:H15" si="0">Score_Altman(A3,C3,B3,D3,E3,F3,G3)</f>
        <v>2.9899992942810059</v>
      </c>
    </row>
    <row r="4" spans="1:8" x14ac:dyDescent="0.25">
      <c r="A4" s="1">
        <v>14679995.207828077</v>
      </c>
      <c r="B4" s="1">
        <v>7655725.0442713611</v>
      </c>
      <c r="C4" s="1">
        <v>21078916.041736715</v>
      </c>
      <c r="D4" s="1">
        <v>7794309.8706253897</v>
      </c>
      <c r="E4" s="1">
        <v>461509.22061879409</v>
      </c>
      <c r="F4" s="1">
        <v>10134451</v>
      </c>
      <c r="G4" s="1">
        <v>8403149.5644173604</v>
      </c>
      <c r="H4">
        <f t="shared" si="0"/>
        <v>2.9899983406066895</v>
      </c>
    </row>
    <row r="5" spans="1:8" x14ac:dyDescent="0.25">
      <c r="A5" s="1">
        <v>1559563</v>
      </c>
      <c r="B5" s="1">
        <v>8439583.8646394741</v>
      </c>
      <c r="C5" s="1">
        <v>17057866.334090766</v>
      </c>
      <c r="D5" s="1">
        <v>8595917.7653010692</v>
      </c>
      <c r="E5" s="1">
        <v>410821</v>
      </c>
      <c r="F5" s="1">
        <v>17641511</v>
      </c>
      <c r="G5" s="1">
        <v>8720002.2425995581</v>
      </c>
      <c r="H5">
        <f t="shared" si="0"/>
        <v>2.9900014400482178</v>
      </c>
    </row>
    <row r="6" spans="1:8" x14ac:dyDescent="0.25">
      <c r="A6" s="1">
        <v>8243959.5775411362</v>
      </c>
      <c r="B6" s="1">
        <v>3393085.3025747933</v>
      </c>
      <c r="C6" s="1">
        <v>10056125.012605218</v>
      </c>
      <c r="D6" s="1">
        <v>3542019.9694504105</v>
      </c>
      <c r="E6" s="1">
        <v>113888</v>
      </c>
      <c r="F6" s="1">
        <v>12506958</v>
      </c>
      <c r="G6" s="1">
        <v>3684826.3459082423</v>
      </c>
      <c r="H6">
        <f t="shared" si="0"/>
        <v>2.9900007247924805</v>
      </c>
    </row>
    <row r="7" spans="1:8" x14ac:dyDescent="0.25">
      <c r="A7" s="1">
        <v>0</v>
      </c>
      <c r="B7" s="1">
        <v>6420657.3941614609</v>
      </c>
      <c r="C7" s="1">
        <v>12569969.16736054</v>
      </c>
      <c r="D7" s="1">
        <v>6487826.107755064</v>
      </c>
      <c r="E7" s="1">
        <v>223844</v>
      </c>
      <c r="F7" s="1">
        <v>21454835</v>
      </c>
      <c r="G7" s="1">
        <v>7113902.0408686232</v>
      </c>
      <c r="H7">
        <f t="shared" si="0"/>
        <v>2.9900012016296387</v>
      </c>
    </row>
    <row r="8" spans="1:8" x14ac:dyDescent="0.25">
      <c r="A8" s="1">
        <v>165022.90443214081</v>
      </c>
      <c r="B8" s="1">
        <v>3082513.881916136</v>
      </c>
      <c r="C8" s="1">
        <v>6565010.3994461969</v>
      </c>
      <c r="D8" s="1">
        <v>3395029.5720891119</v>
      </c>
      <c r="E8" s="1">
        <v>250032.05230166129</v>
      </c>
      <c r="F8" s="1">
        <v>23412854</v>
      </c>
      <c r="G8" s="1">
        <v>3874041.9409786952</v>
      </c>
      <c r="H8">
        <f t="shared" si="0"/>
        <v>2.989999532699585</v>
      </c>
    </row>
    <row r="9" spans="1:8" x14ac:dyDescent="0.25">
      <c r="A9" s="1">
        <v>11393831.586159734</v>
      </c>
      <c r="B9" s="1">
        <v>4284055.5389374997</v>
      </c>
      <c r="C9" s="1">
        <v>13267546.081978755</v>
      </c>
      <c r="D9" s="1">
        <v>4433782.8926542746</v>
      </c>
      <c r="E9" s="1">
        <v>340240</v>
      </c>
      <c r="F9" s="1">
        <v>10302655.523765994</v>
      </c>
      <c r="G9" s="1">
        <v>5110429.8189114807</v>
      </c>
      <c r="H9">
        <f t="shared" si="0"/>
        <v>2.9900007247924805</v>
      </c>
    </row>
    <row r="10" spans="1:8" x14ac:dyDescent="0.25">
      <c r="A10" s="1">
        <v>0</v>
      </c>
      <c r="B10" s="1">
        <v>3671893.8655677894</v>
      </c>
      <c r="C10" s="1">
        <v>7610263.6282566423</v>
      </c>
      <c r="D10" s="1">
        <v>3983343.7415800546</v>
      </c>
      <c r="E10" s="1">
        <v>223387</v>
      </c>
      <c r="F10" s="1">
        <v>16119789.693326591</v>
      </c>
      <c r="G10" s="1">
        <v>4410139.1421281323</v>
      </c>
      <c r="H10">
        <f t="shared" si="0"/>
        <v>2.9900004863739014</v>
      </c>
    </row>
    <row r="11" spans="1:8" x14ac:dyDescent="0.25">
      <c r="A11" s="1">
        <v>1610084.6924431492</v>
      </c>
      <c r="B11" s="1">
        <v>1822729.2340047455</v>
      </c>
      <c r="C11" s="1">
        <v>6525725.6550875967</v>
      </c>
      <c r="D11" s="1">
        <v>3359133.2290157559</v>
      </c>
      <c r="E11" s="1">
        <v>407920</v>
      </c>
      <c r="F11" s="1">
        <v>20942932.672692977</v>
      </c>
      <c r="G11" s="1">
        <v>3870465.633848208</v>
      </c>
      <c r="H11">
        <f t="shared" si="0"/>
        <v>2.9900002479553223</v>
      </c>
    </row>
    <row r="12" spans="1:8" x14ac:dyDescent="0.25">
      <c r="A12" s="1">
        <v>11970951.016710114</v>
      </c>
      <c r="B12" s="1">
        <v>9250287.9377092365</v>
      </c>
      <c r="C12" s="1">
        <v>22610643.422167473</v>
      </c>
      <c r="D12" s="1">
        <v>9277097.8071954958</v>
      </c>
      <c r="E12" s="1">
        <v>189359</v>
      </c>
      <c r="F12" s="1">
        <v>12389447</v>
      </c>
      <c r="G12" s="1">
        <v>9477965.8467605188</v>
      </c>
      <c r="H12">
        <f t="shared" si="0"/>
        <v>2.9899990558624268</v>
      </c>
    </row>
    <row r="13" spans="1:8" x14ac:dyDescent="0.25">
      <c r="A13" s="1">
        <v>5185880.4611585718</v>
      </c>
      <c r="B13" s="1">
        <v>8799796.529382905</v>
      </c>
      <c r="C13" s="1">
        <v>19062431.177271467</v>
      </c>
      <c r="D13" s="1">
        <v>8716463.0727204848</v>
      </c>
      <c r="E13" s="1">
        <v>123284</v>
      </c>
      <c r="F13" s="1">
        <v>14012020</v>
      </c>
      <c r="G13" s="1">
        <v>9598527.7882669494</v>
      </c>
      <c r="H13">
        <f t="shared" si="0"/>
        <v>2.989999532699585</v>
      </c>
    </row>
    <row r="14" spans="1:8" x14ac:dyDescent="0.25">
      <c r="A14" s="1">
        <v>2067536.1239868114</v>
      </c>
      <c r="B14" s="1">
        <v>6727669.5086490642</v>
      </c>
      <c r="C14" s="1">
        <v>14492894.987158164</v>
      </c>
      <c r="D14" s="1">
        <v>7168350.2047144137</v>
      </c>
      <c r="E14" s="1">
        <v>326177</v>
      </c>
      <c r="F14" s="1">
        <v>18716826</v>
      </c>
      <c r="G14" s="1">
        <v>7634496.7310986435</v>
      </c>
      <c r="H14">
        <f t="shared" si="0"/>
        <v>2.9899988174438477</v>
      </c>
    </row>
    <row r="15" spans="1:8" x14ac:dyDescent="0.25">
      <c r="A15" s="1">
        <v>2276626.454948552</v>
      </c>
      <c r="B15" s="1">
        <v>1301832.9735979985</v>
      </c>
      <c r="C15" s="1">
        <v>5667079.0137675758</v>
      </c>
      <c r="D15" s="1">
        <v>2655699.1289176275</v>
      </c>
      <c r="E15" s="1">
        <v>298620.1374624045</v>
      </c>
      <c r="F15" s="1">
        <v>19381911.357710641</v>
      </c>
      <c r="G15" s="1">
        <v>3577430.6884968453</v>
      </c>
      <c r="H15">
        <f t="shared" si="0"/>
        <v>2.9900002479553223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activeCell="H13" sqref="H13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10628811.062976392</v>
      </c>
      <c r="B2" s="1">
        <v>7438730.3818406491</v>
      </c>
      <c r="C2" s="1">
        <v>18854566.693521071</v>
      </c>
      <c r="D2" s="1">
        <v>7588904.4559466867</v>
      </c>
      <c r="E2" s="1">
        <v>181379</v>
      </c>
      <c r="F2" s="1">
        <v>12083790</v>
      </c>
      <c r="G2" s="1">
        <v>8001160.8712024614</v>
      </c>
      <c r="H2">
        <f>Score_Altman(A2,C2,B2,D2,E2,F2,G2)</f>
        <v>2.9899997711181641</v>
      </c>
    </row>
    <row r="3" spans="1:8" x14ac:dyDescent="0.25">
      <c r="A3" s="1">
        <v>0</v>
      </c>
      <c r="B3" s="1">
        <v>6154482.7988414429</v>
      </c>
      <c r="C3" s="1">
        <v>11573402.915793339</v>
      </c>
      <c r="D3" s="1">
        <v>5850185.40325421</v>
      </c>
      <c r="E3" s="1">
        <v>479987.35677908454</v>
      </c>
      <c r="F3" s="1">
        <v>15774767</v>
      </c>
      <c r="G3" s="1">
        <v>6477764.4713529572</v>
      </c>
      <c r="H3">
        <f t="shared" ref="H3:H13" si="0">Score_Altman(A3,C3,B3,D3,E3,F3,G3)</f>
        <v>2.9899990558624268</v>
      </c>
    </row>
    <row r="4" spans="1:8" x14ac:dyDescent="0.25">
      <c r="A4" s="1">
        <v>8151166.6924194675</v>
      </c>
      <c r="B4" s="1">
        <v>32697.681446009108</v>
      </c>
      <c r="C4" s="1">
        <v>4358572.0548961777</v>
      </c>
      <c r="D4" s="1">
        <v>0</v>
      </c>
      <c r="E4" s="1">
        <v>259692.20865420336</v>
      </c>
      <c r="F4" s="1">
        <v>22482813.701472484</v>
      </c>
      <c r="G4" s="1">
        <v>3177926.5435239123</v>
      </c>
      <c r="H4">
        <f t="shared" si="0"/>
        <v>2.9900002479553223</v>
      </c>
    </row>
    <row r="5" spans="1:8" x14ac:dyDescent="0.25">
      <c r="A5" s="1">
        <v>4059665.9155116263</v>
      </c>
      <c r="B5" s="1">
        <v>1668146.8334986581</v>
      </c>
      <c r="C5" s="1">
        <v>7002789.0632288232</v>
      </c>
      <c r="D5" s="1">
        <v>2824879.3833345873</v>
      </c>
      <c r="E5" s="1">
        <v>228647.8125</v>
      </c>
      <c r="F5" s="1">
        <v>23805095.365599796</v>
      </c>
      <c r="G5" s="1">
        <v>4373250.2689044299</v>
      </c>
      <c r="H5">
        <f t="shared" si="0"/>
        <v>2.9900002479553223</v>
      </c>
    </row>
    <row r="6" spans="1:8" x14ac:dyDescent="0.25">
      <c r="A6" s="1">
        <v>8485577.586885741</v>
      </c>
      <c r="B6" s="1">
        <v>7725311.0168937761</v>
      </c>
      <c r="C6" s="1">
        <v>18384128.752309624</v>
      </c>
      <c r="D6" s="1">
        <v>7681348.1706287013</v>
      </c>
      <c r="E6" s="1">
        <v>138883</v>
      </c>
      <c r="F6" s="1">
        <v>10507462</v>
      </c>
      <c r="G6" s="1">
        <v>8484667.0704967529</v>
      </c>
      <c r="H6">
        <f t="shared" si="0"/>
        <v>2.9900007247924805</v>
      </c>
    </row>
    <row r="7" spans="1:8" x14ac:dyDescent="0.25">
      <c r="A7" s="1">
        <v>0</v>
      </c>
      <c r="B7" s="1">
        <v>7691868.5426765047</v>
      </c>
      <c r="C7" s="1">
        <v>14739621.486859608</v>
      </c>
      <c r="D7" s="1">
        <v>7550798.7539397944</v>
      </c>
      <c r="E7" s="1">
        <v>363396</v>
      </c>
      <c r="F7" s="1">
        <v>24933779</v>
      </c>
      <c r="G7" s="1">
        <v>8264554.4818464443</v>
      </c>
      <c r="H7">
        <f t="shared" si="0"/>
        <v>2.9899978637695313</v>
      </c>
    </row>
    <row r="8" spans="1:8" x14ac:dyDescent="0.25">
      <c r="A8" s="1">
        <v>10523773.401277756</v>
      </c>
      <c r="B8" s="1">
        <v>5005744.8955922918</v>
      </c>
      <c r="C8" s="1">
        <v>14376202.68530249</v>
      </c>
      <c r="D8" s="1">
        <v>5243502.465352199</v>
      </c>
      <c r="E8" s="1">
        <v>344243</v>
      </c>
      <c r="F8" s="1">
        <v>12480467.473954363</v>
      </c>
      <c r="G8" s="1">
        <v>5812594.0074239029</v>
      </c>
      <c r="H8">
        <f t="shared" si="0"/>
        <v>2.9899988174438477</v>
      </c>
    </row>
    <row r="9" spans="1:8" x14ac:dyDescent="0.25">
      <c r="A9" s="1">
        <v>9523757.1314768214</v>
      </c>
      <c r="B9" s="1">
        <v>6752443.3001186196</v>
      </c>
      <c r="C9" s="1">
        <v>17398616.732664727</v>
      </c>
      <c r="D9" s="1">
        <v>7047640.4420284638</v>
      </c>
      <c r="E9" s="1">
        <v>201039</v>
      </c>
      <c r="F9" s="1">
        <v>13661272</v>
      </c>
      <c r="G9" s="1">
        <v>7736822.2565673487</v>
      </c>
      <c r="H9">
        <f t="shared" si="0"/>
        <v>2.9899992942810059</v>
      </c>
    </row>
    <row r="10" spans="1:8" x14ac:dyDescent="0.25">
      <c r="A10" s="1">
        <v>6096481.313527423</v>
      </c>
      <c r="B10" s="1">
        <v>2613109.0209334972</v>
      </c>
      <c r="C10" s="1">
        <v>7678030.4860014496</v>
      </c>
      <c r="D10" s="1">
        <v>2745167.808979149</v>
      </c>
      <c r="E10" s="1">
        <v>148290</v>
      </c>
      <c r="F10" s="1">
        <v>16536272</v>
      </c>
      <c r="G10" s="1">
        <v>2885703.3769615586</v>
      </c>
      <c r="H10">
        <f t="shared" si="0"/>
        <v>2.9900002479553223</v>
      </c>
    </row>
    <row r="11" spans="1:8" x14ac:dyDescent="0.25">
      <c r="A11" s="1">
        <v>0</v>
      </c>
      <c r="B11" s="1">
        <v>10953129.532491006</v>
      </c>
      <c r="C11" s="1">
        <v>21128779.149231542</v>
      </c>
      <c r="D11" s="1">
        <v>11008267.989902096</v>
      </c>
      <c r="E11" s="1">
        <v>200485</v>
      </c>
      <c r="F11" s="1">
        <v>22988005</v>
      </c>
      <c r="G11" s="1">
        <v>11414254.014736645</v>
      </c>
      <c r="H11">
        <f t="shared" si="0"/>
        <v>2.9900007247924805</v>
      </c>
    </row>
    <row r="12" spans="1:8" x14ac:dyDescent="0.25">
      <c r="A12" s="1">
        <v>11686189.323836753</v>
      </c>
      <c r="B12" s="1">
        <v>2192848.693797153</v>
      </c>
      <c r="C12" s="1">
        <v>9252368.6327111162</v>
      </c>
      <c r="D12" s="1">
        <v>2248099.765330099</v>
      </c>
      <c r="E12" s="1">
        <v>199289</v>
      </c>
      <c r="F12" s="1">
        <v>13435196</v>
      </c>
      <c r="G12" s="1">
        <v>3073160.8433878506</v>
      </c>
      <c r="H12">
        <f t="shared" si="0"/>
        <v>2.989999532699585</v>
      </c>
    </row>
    <row r="13" spans="1:8" x14ac:dyDescent="0.25">
      <c r="A13" s="1">
        <v>0</v>
      </c>
      <c r="B13" s="1">
        <v>7146013.6397425374</v>
      </c>
      <c r="C13" s="1">
        <v>14033889.249260206</v>
      </c>
      <c r="D13" s="1">
        <v>7299710.0639036223</v>
      </c>
      <c r="E13" s="1">
        <v>207048</v>
      </c>
      <c r="F13" s="1">
        <v>16273721</v>
      </c>
      <c r="G13" s="1">
        <v>7768470.1553664943</v>
      </c>
      <c r="H13">
        <f t="shared" si="0"/>
        <v>2.9899976253509521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activeCell="J13" sqref="J13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19</v>
      </c>
    </row>
    <row r="2" spans="1:8" x14ac:dyDescent="0.25">
      <c r="A2" s="1">
        <v>0</v>
      </c>
      <c r="B2" s="1">
        <v>8829621.8622402567</v>
      </c>
      <c r="C2" s="1">
        <v>16661933.310846558</v>
      </c>
      <c r="D2" s="1">
        <v>8550221.762116164</v>
      </c>
      <c r="E2" s="1">
        <v>203124</v>
      </c>
      <c r="F2" s="1">
        <v>19772906</v>
      </c>
      <c r="G2" s="1">
        <v>9148385.6737736128</v>
      </c>
      <c r="H2">
        <f>Score_Altman(A2,C2,B2,D2,E2,F2,G2)</f>
        <v>2.9899976253509521</v>
      </c>
    </row>
    <row r="3" spans="1:8" x14ac:dyDescent="0.25">
      <c r="A3" s="1">
        <v>792206</v>
      </c>
      <c r="B3" s="1">
        <v>10712937.859518146</v>
      </c>
      <c r="C3" s="1">
        <v>20960294.320345856</v>
      </c>
      <c r="D3" s="1">
        <v>10783930.469140619</v>
      </c>
      <c r="E3" s="1">
        <v>208170</v>
      </c>
      <c r="F3" s="1">
        <v>21367756</v>
      </c>
      <c r="G3" s="1">
        <v>11024088.596656339</v>
      </c>
      <c r="H3">
        <f t="shared" ref="H3:H12" si="0">Score_Altman(A3,C3,B3,D3,E3,F3,G3)</f>
        <v>2.9900016784667969</v>
      </c>
    </row>
    <row r="4" spans="1:8" x14ac:dyDescent="0.25">
      <c r="A4" s="1">
        <v>6046054.5135781402</v>
      </c>
      <c r="B4" s="1">
        <v>5691791.1443677461</v>
      </c>
      <c r="C4" s="1">
        <v>14093115.368182976</v>
      </c>
      <c r="D4" s="1">
        <v>6132821.9897057312</v>
      </c>
      <c r="E4" s="1">
        <v>306697</v>
      </c>
      <c r="F4" s="1">
        <v>20102615</v>
      </c>
      <c r="G4" s="1">
        <v>6553857.4957564902</v>
      </c>
      <c r="H4">
        <f t="shared" si="0"/>
        <v>2.9899988174438477</v>
      </c>
    </row>
    <row r="5" spans="1:8" x14ac:dyDescent="0.25">
      <c r="A5" s="1">
        <v>4215048.1639543613</v>
      </c>
      <c r="B5" s="1">
        <v>9012173.8407102749</v>
      </c>
      <c r="C5" s="1">
        <v>18944691.780139875</v>
      </c>
      <c r="D5" s="1">
        <v>8934225.3293332271</v>
      </c>
      <c r="E5" s="1">
        <v>255600</v>
      </c>
      <c r="F5" s="1">
        <v>14911999</v>
      </c>
      <c r="G5" s="1">
        <v>9301029.4416304361</v>
      </c>
      <c r="H5">
        <f t="shared" si="0"/>
        <v>2.9899988174438477</v>
      </c>
    </row>
    <row r="6" spans="1:8" x14ac:dyDescent="0.25">
      <c r="A6" s="1">
        <v>0</v>
      </c>
      <c r="B6" s="1">
        <v>5452908.6693065763</v>
      </c>
      <c r="C6" s="1">
        <v>11223142.870078983</v>
      </c>
      <c r="D6" s="1">
        <v>5987731.2968877126</v>
      </c>
      <c r="E6" s="1">
        <v>371195.6000557412</v>
      </c>
      <c r="F6" s="1">
        <v>22806558</v>
      </c>
      <c r="G6" s="1">
        <v>6060068.4205593411</v>
      </c>
      <c r="H6">
        <f t="shared" si="0"/>
        <v>2.9899997711181641</v>
      </c>
    </row>
    <row r="7" spans="1:8" x14ac:dyDescent="0.25">
      <c r="A7" s="1">
        <v>5017246.7742798263</v>
      </c>
      <c r="B7" s="1">
        <v>7220730.3422929086</v>
      </c>
      <c r="C7" s="1">
        <v>16494308.178855192</v>
      </c>
      <c r="D7" s="1">
        <v>7656794.829599129</v>
      </c>
      <c r="E7" s="1">
        <v>268508.75625000003</v>
      </c>
      <c r="F7" s="1">
        <v>18334219</v>
      </c>
      <c r="G7" s="1">
        <v>7783670.91464468</v>
      </c>
      <c r="H7">
        <f t="shared" si="0"/>
        <v>2.9899992942810059</v>
      </c>
    </row>
    <row r="8" spans="1:8" x14ac:dyDescent="0.25">
      <c r="A8" s="1">
        <v>1553100.449466049</v>
      </c>
      <c r="B8" s="1">
        <v>5524575.8746649045</v>
      </c>
      <c r="C8" s="1">
        <v>11827452.670740044</v>
      </c>
      <c r="D8" s="1">
        <v>5867573.4834602056</v>
      </c>
      <c r="E8" s="1">
        <v>452122.73123997118</v>
      </c>
      <c r="F8" s="1">
        <v>16056537.674971905</v>
      </c>
      <c r="G8" s="1">
        <v>6209347.0347867562</v>
      </c>
      <c r="H8">
        <f t="shared" si="0"/>
        <v>2.9899997711181641</v>
      </c>
    </row>
    <row r="9" spans="1:8" x14ac:dyDescent="0.25">
      <c r="A9" s="1">
        <v>0</v>
      </c>
      <c r="B9" s="1">
        <v>6929128.0466527278</v>
      </c>
      <c r="C9" s="1">
        <v>13478149.859551294</v>
      </c>
      <c r="D9" s="1">
        <v>7102687.493445714</v>
      </c>
      <c r="E9" s="1">
        <v>228340</v>
      </c>
      <c r="F9" s="1">
        <v>17353087</v>
      </c>
      <c r="G9" s="1">
        <v>7060696.6605687859</v>
      </c>
      <c r="H9">
        <f t="shared" si="0"/>
        <v>2.990001916885376</v>
      </c>
    </row>
    <row r="10" spans="1:8" x14ac:dyDescent="0.25">
      <c r="A10" s="1">
        <v>1186867.6728673857</v>
      </c>
      <c r="B10" s="1">
        <v>4071797.3154822285</v>
      </c>
      <c r="C10" s="1">
        <v>9074278.1598733533</v>
      </c>
      <c r="D10" s="1">
        <v>4474586.666692554</v>
      </c>
      <c r="E10" s="1">
        <v>370975</v>
      </c>
      <c r="F10" s="1">
        <v>21282346</v>
      </c>
      <c r="G10" s="1">
        <v>5151440.6915669376</v>
      </c>
      <c r="H10">
        <f t="shared" si="0"/>
        <v>2.989999532699585</v>
      </c>
    </row>
    <row r="11" spans="1:8" x14ac:dyDescent="0.25">
      <c r="A11" s="1">
        <v>2114540.3583791442</v>
      </c>
      <c r="B11" s="1">
        <v>8768607.2317805197</v>
      </c>
      <c r="C11" s="1">
        <v>18081133.024405126</v>
      </c>
      <c r="D11" s="1">
        <v>8980812.2510654572</v>
      </c>
      <c r="E11" s="1">
        <v>309383</v>
      </c>
      <c r="F11" s="1">
        <v>18713723</v>
      </c>
      <c r="G11" s="1">
        <v>9442479.0619093124</v>
      </c>
      <c r="H11">
        <f t="shared" si="0"/>
        <v>2.9899988174438477</v>
      </c>
    </row>
    <row r="12" spans="1:8" x14ac:dyDescent="0.25">
      <c r="A12" s="1">
        <v>12142961.622261044</v>
      </c>
      <c r="B12" s="1">
        <v>670363.69501490588</v>
      </c>
      <c r="C12" s="1">
        <v>6973582.0828149393</v>
      </c>
      <c r="D12" s="1">
        <v>742346.78281171666</v>
      </c>
      <c r="E12" s="1">
        <v>491562.80661282083</v>
      </c>
      <c r="F12" s="1">
        <v>25188102.187255327</v>
      </c>
      <c r="G12" s="1">
        <v>2812359.2200498325</v>
      </c>
      <c r="H12">
        <f t="shared" si="0"/>
        <v>2.9900002479553223</v>
      </c>
    </row>
    <row r="13" spans="1:8" x14ac:dyDescent="0.25">
      <c r="A13" s="1">
        <v>5070521.1809904762</v>
      </c>
      <c r="B13" s="1">
        <v>3320468.2743533384</v>
      </c>
      <c r="C13" s="1">
        <v>8871879.8396679852</v>
      </c>
      <c r="D13" s="1">
        <v>3522696.5380457626</v>
      </c>
      <c r="E13" s="1">
        <v>469273.00023562484</v>
      </c>
      <c r="F13" s="1">
        <v>11464235</v>
      </c>
      <c r="G13" s="1">
        <v>3954792.3166073891</v>
      </c>
      <c r="H13">
        <f>Score_Altman(A13,C13,B13,D13,E13,F13,G13)</f>
        <v>2.9899988174438477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4"/>
  <sheetViews>
    <sheetView topLeftCell="A2" workbookViewId="0">
      <selection activeCell="H14" sqref="H14"/>
    </sheetView>
  </sheetViews>
  <sheetFormatPr baseColWidth="10" defaultRowHeight="15" x14ac:dyDescent="0.25"/>
  <sheetData>
    <row r="2" spans="1:8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18</v>
      </c>
    </row>
    <row r="3" spans="1:8" x14ac:dyDescent="0.25">
      <c r="A3" s="1">
        <v>9184547.7029590663</v>
      </c>
      <c r="B3" s="1">
        <v>6257497.2710804204</v>
      </c>
      <c r="C3" s="1">
        <v>16260511.028768227</v>
      </c>
      <c r="D3" s="1">
        <v>6488427.382818942</v>
      </c>
      <c r="E3" s="1">
        <v>484234.63535857858</v>
      </c>
      <c r="F3" s="1">
        <v>13107909</v>
      </c>
      <c r="G3" s="1">
        <v>7071809.1987193292</v>
      </c>
      <c r="H3">
        <f>Score_Altman(A3,C3,B3,D3,E3,F3,G3)</f>
        <v>2.989999532699585</v>
      </c>
    </row>
    <row r="4" spans="1:8" x14ac:dyDescent="0.25">
      <c r="A4" s="1">
        <v>12692313.771162493</v>
      </c>
      <c r="B4" s="1">
        <v>6199936.7672209246</v>
      </c>
      <c r="C4" s="1">
        <v>17258913.230951551</v>
      </c>
      <c r="D4" s="1">
        <v>6356912.0556193991</v>
      </c>
      <c r="E4" s="1">
        <v>445298</v>
      </c>
      <c r="F4" s="1">
        <v>11542587.016684178</v>
      </c>
      <c r="G4" s="1">
        <v>6322502.0075354148</v>
      </c>
      <c r="H4">
        <f t="shared" ref="H4:H14" si="0">Score_Altman(A4,C4,B4,D4,E4,F4,G4)</f>
        <v>2.9900012016296387</v>
      </c>
    </row>
    <row r="5" spans="1:8" x14ac:dyDescent="0.25">
      <c r="A5" s="1">
        <v>5177348.5360522177</v>
      </c>
      <c r="B5" s="1">
        <v>6863703.6400075983</v>
      </c>
      <c r="C5" s="1">
        <v>15771533.097906744</v>
      </c>
      <c r="D5" s="1">
        <v>7259152.894394408</v>
      </c>
      <c r="E5" s="1">
        <v>323819</v>
      </c>
      <c r="F5" s="1">
        <v>18537728</v>
      </c>
      <c r="G5" s="1">
        <v>7221590.9256890723</v>
      </c>
      <c r="H5">
        <f t="shared" si="0"/>
        <v>2.989999532699585</v>
      </c>
    </row>
    <row r="6" spans="1:8" x14ac:dyDescent="0.25">
      <c r="A6" s="1">
        <v>0</v>
      </c>
      <c r="B6" s="1">
        <v>10197344.13418014</v>
      </c>
      <c r="C6" s="1">
        <v>19838827.350411735</v>
      </c>
      <c r="D6" s="1">
        <v>10526899.263705486</v>
      </c>
      <c r="E6" s="1">
        <v>182774</v>
      </c>
      <c r="F6" s="1">
        <v>24906218</v>
      </c>
      <c r="G6" s="1">
        <v>10225905.249460051</v>
      </c>
      <c r="H6">
        <f t="shared" si="0"/>
        <v>2.9899992942810059</v>
      </c>
    </row>
    <row r="7" spans="1:8" x14ac:dyDescent="0.25">
      <c r="A7" s="1">
        <v>2787968.4495358993</v>
      </c>
      <c r="B7" s="1">
        <v>6459303.422448067</v>
      </c>
      <c r="C7" s="1">
        <v>14315976.842630018</v>
      </c>
      <c r="D7" s="1">
        <v>7012014.6612430513</v>
      </c>
      <c r="E7" s="1">
        <v>189074</v>
      </c>
      <c r="F7" s="1">
        <v>21890648</v>
      </c>
      <c r="G7" s="1">
        <v>7209552.5869125398</v>
      </c>
      <c r="H7">
        <f t="shared" si="0"/>
        <v>2.9899997711181641</v>
      </c>
    </row>
    <row r="8" spans="1:8" x14ac:dyDescent="0.25">
      <c r="A8" s="1">
        <v>2374198.6419177828</v>
      </c>
      <c r="B8" s="1">
        <v>398781.77563915116</v>
      </c>
      <c r="C8" s="1">
        <v>5366948.2357720099</v>
      </c>
      <c r="D8" s="1">
        <v>2771394.8973724227</v>
      </c>
      <c r="E8" s="1">
        <v>231851</v>
      </c>
      <c r="F8" s="1">
        <v>30282731.316838551</v>
      </c>
      <c r="G8" s="1">
        <v>3473056.8747811876</v>
      </c>
      <c r="H8">
        <f t="shared" si="0"/>
        <v>2.9900000095367432</v>
      </c>
    </row>
    <row r="9" spans="1:8" x14ac:dyDescent="0.25">
      <c r="A9" s="1">
        <v>3227581.4805965601</v>
      </c>
      <c r="B9" s="1">
        <v>10684176.172607189</v>
      </c>
      <c r="C9" s="1">
        <v>21952269.200317316</v>
      </c>
      <c r="D9" s="1">
        <v>10721924.919566486</v>
      </c>
      <c r="E9" s="1">
        <v>160618</v>
      </c>
      <c r="F9" s="1">
        <v>19692471</v>
      </c>
      <c r="G9" s="1">
        <v>11327880.061825927</v>
      </c>
      <c r="H9">
        <f t="shared" si="0"/>
        <v>2.989999532699585</v>
      </c>
    </row>
    <row r="10" spans="1:8" x14ac:dyDescent="0.25">
      <c r="A10" s="1">
        <v>2373480.0554299359</v>
      </c>
      <c r="B10" s="1">
        <v>1421805.1652152771</v>
      </c>
      <c r="C10" s="1">
        <v>7019707.1313016592</v>
      </c>
      <c r="D10" s="1">
        <v>3392519.1207298213</v>
      </c>
      <c r="E10" s="1">
        <v>226660.82051689582</v>
      </c>
      <c r="F10" s="1">
        <v>25945380.346277714</v>
      </c>
      <c r="G10" s="1">
        <v>4923034.1853964897</v>
      </c>
      <c r="H10">
        <f t="shared" si="0"/>
        <v>2.9899997711181641</v>
      </c>
    </row>
    <row r="11" spans="1:8" x14ac:dyDescent="0.25">
      <c r="A11" s="1">
        <v>8913066.7245087307</v>
      </c>
      <c r="B11" s="1">
        <v>5553224.3750015432</v>
      </c>
      <c r="C11" s="1">
        <v>14565769.101051014</v>
      </c>
      <c r="D11" s="1">
        <v>5689711.5939808087</v>
      </c>
      <c r="E11" s="1">
        <v>184084</v>
      </c>
      <c r="F11" s="1">
        <v>10008623</v>
      </c>
      <c r="G11" s="1">
        <v>6150803.7306645839</v>
      </c>
      <c r="H11">
        <f t="shared" si="0"/>
        <v>2.9899990558624268</v>
      </c>
    </row>
    <row r="12" spans="1:8" x14ac:dyDescent="0.25">
      <c r="A12" s="1">
        <v>9512484.1889253668</v>
      </c>
      <c r="B12" s="1">
        <v>4264026.2821676629</v>
      </c>
      <c r="C12" s="1">
        <v>12532882.764302123</v>
      </c>
      <c r="D12" s="1">
        <v>4442300.413173046</v>
      </c>
      <c r="E12" s="1">
        <v>216505</v>
      </c>
      <c r="F12" s="1">
        <v>12145031.679121206</v>
      </c>
      <c r="G12" s="1">
        <v>5300374.9743137211</v>
      </c>
      <c r="H12">
        <f t="shared" si="0"/>
        <v>2.9900012016296387</v>
      </c>
    </row>
    <row r="13" spans="1:8" x14ac:dyDescent="0.25">
      <c r="A13" s="1">
        <v>6011873.2990268264</v>
      </c>
      <c r="B13" s="1">
        <v>376200.1082165878</v>
      </c>
      <c r="C13" s="1">
        <v>5929250.6030708561</v>
      </c>
      <c r="D13" s="1">
        <v>1829847.3219202827</v>
      </c>
      <c r="E13" s="1">
        <v>103916</v>
      </c>
      <c r="F13" s="1">
        <v>28604452.751710404</v>
      </c>
      <c r="G13" s="1">
        <v>3940050.7241604482</v>
      </c>
      <c r="H13">
        <f t="shared" si="0"/>
        <v>2.9900000095367432</v>
      </c>
    </row>
    <row r="14" spans="1:8" x14ac:dyDescent="0.25">
      <c r="A14" s="1">
        <v>-223028.85</v>
      </c>
      <c r="B14" s="1">
        <v>1775891.6353209671</v>
      </c>
      <c r="C14" s="1">
        <v>3739990.4250598741</v>
      </c>
      <c r="D14" s="1">
        <v>1920700.6330548616</v>
      </c>
      <c r="E14" s="1">
        <v>484716.14999999997</v>
      </c>
      <c r="F14" s="1">
        <v>19537300.590565983</v>
      </c>
      <c r="G14" s="1">
        <v>2572545.0059076357</v>
      </c>
      <c r="H14">
        <f>Score_Altman(A14,C14,B14,D14,E14,F14,G14)</f>
        <v>2.9900000095367432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activeCell="H10" sqref="H10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0</v>
      </c>
      <c r="B2" s="1">
        <v>6827601.9512306098</v>
      </c>
      <c r="C2" s="1">
        <v>13710224.574366916</v>
      </c>
      <c r="D2" s="1">
        <v>7164923.8283421574</v>
      </c>
      <c r="E2" s="1">
        <v>295961</v>
      </c>
      <c r="F2" s="1">
        <v>20281546</v>
      </c>
      <c r="G2" s="1">
        <v>7678315.9547208175</v>
      </c>
      <c r="H2">
        <f>Score_Altman(A2,C2,B2,D2,E2,F2,G2)</f>
        <v>2.9899997711181641</v>
      </c>
    </row>
    <row r="3" spans="1:8" x14ac:dyDescent="0.25">
      <c r="A3" s="1">
        <v>1559909.3159942038</v>
      </c>
      <c r="B3" s="1">
        <v>7077756.3458605623</v>
      </c>
      <c r="C3" s="1">
        <v>14743764.977927467</v>
      </c>
      <c r="D3" s="1">
        <v>7506880.7522796579</v>
      </c>
      <c r="E3" s="1">
        <v>223577</v>
      </c>
      <c r="F3" s="1">
        <v>19680859.214831609</v>
      </c>
      <c r="G3" s="1">
        <v>7437354.543906264</v>
      </c>
      <c r="H3">
        <f t="shared" ref="H3:H15" si="0">Score_Altman(A3,C3,B3,D3,E3,F3,G3)</f>
        <v>2.9900007247924805</v>
      </c>
    </row>
    <row r="4" spans="1:8" x14ac:dyDescent="0.25">
      <c r="A4" s="1">
        <v>0</v>
      </c>
      <c r="B4" s="1">
        <v>9502664.9287796542</v>
      </c>
      <c r="C4" s="1">
        <v>18317474.17278292</v>
      </c>
      <c r="D4" s="1">
        <v>9597382.9640763402</v>
      </c>
      <c r="E4" s="1">
        <v>494116</v>
      </c>
      <c r="F4" s="1">
        <v>24938847</v>
      </c>
      <c r="G4" s="1">
        <v>9585963.9827575274</v>
      </c>
      <c r="H4">
        <f t="shared" si="0"/>
        <v>2.9899990558624268</v>
      </c>
    </row>
    <row r="5" spans="1:8" x14ac:dyDescent="0.25">
      <c r="A5" s="1">
        <v>60398.843401930913</v>
      </c>
      <c r="B5" s="1">
        <v>6600341.4463211764</v>
      </c>
      <c r="C5" s="1">
        <v>12732329.7688256</v>
      </c>
      <c r="D5" s="1">
        <v>6536676.1010974525</v>
      </c>
      <c r="E5" s="1">
        <v>274535</v>
      </c>
      <c r="F5" s="1">
        <v>23596660</v>
      </c>
      <c r="G5" s="1">
        <v>7103887.6557361549</v>
      </c>
      <c r="H5">
        <f t="shared" si="0"/>
        <v>2.9899988174438477</v>
      </c>
    </row>
    <row r="6" spans="1:8" x14ac:dyDescent="0.25">
      <c r="A6" s="1">
        <v>0</v>
      </c>
      <c r="B6" s="1">
        <v>2802107.4006454661</v>
      </c>
      <c r="C6" s="1">
        <v>5950455.6595092732</v>
      </c>
      <c r="D6" s="1">
        <v>3022114.2115942482</v>
      </c>
      <c r="E6" s="1">
        <v>302741</v>
      </c>
      <c r="F6" s="1">
        <v>15107290.901220951</v>
      </c>
      <c r="G6" s="1">
        <v>3828216.6517035612</v>
      </c>
      <c r="H6">
        <f t="shared" si="0"/>
        <v>2.9900000095367432</v>
      </c>
    </row>
    <row r="7" spans="1:8" x14ac:dyDescent="0.25">
      <c r="A7" s="1">
        <v>0</v>
      </c>
      <c r="B7" s="1">
        <v>6001582.430999985</v>
      </c>
      <c r="C7" s="1">
        <v>11735024.443822024</v>
      </c>
      <c r="D7" s="1">
        <v>6201131.6974577</v>
      </c>
      <c r="E7" s="1">
        <v>145856.22851916691</v>
      </c>
      <c r="F7" s="1">
        <v>16551086</v>
      </c>
      <c r="G7" s="1">
        <v>6165904.3593958085</v>
      </c>
      <c r="H7">
        <f t="shared" si="0"/>
        <v>2.9900012016296387</v>
      </c>
    </row>
    <row r="8" spans="1:8" x14ac:dyDescent="0.25">
      <c r="A8" s="1">
        <v>0</v>
      </c>
      <c r="B8" s="1">
        <v>5359125.0269511249</v>
      </c>
      <c r="C8" s="1">
        <v>11027673.604865005</v>
      </c>
      <c r="D8" s="1">
        <v>5867008.0744130872</v>
      </c>
      <c r="E8" s="1">
        <v>463601</v>
      </c>
      <c r="F8" s="1">
        <v>20579615.949999999</v>
      </c>
      <c r="G8" s="1">
        <v>5965766.5279073678</v>
      </c>
      <c r="H8">
        <f t="shared" si="0"/>
        <v>2.9900009632110596</v>
      </c>
    </row>
    <row r="9" spans="1:8" x14ac:dyDescent="0.25">
      <c r="A9" s="1">
        <v>2718182.4459379897</v>
      </c>
      <c r="B9" s="1">
        <v>5916738.7372542778</v>
      </c>
      <c r="C9" s="1">
        <v>12856210.359603502</v>
      </c>
      <c r="D9" s="1">
        <v>6243296.8641983848</v>
      </c>
      <c r="E9" s="1">
        <v>159868.94117647057</v>
      </c>
      <c r="F9" s="1">
        <v>14139743</v>
      </c>
      <c r="G9" s="1">
        <v>6210925.2497710148</v>
      </c>
      <c r="H9">
        <f t="shared" si="0"/>
        <v>2.989999532699585</v>
      </c>
    </row>
    <row r="10" spans="1:8" x14ac:dyDescent="0.25">
      <c r="A10" s="1">
        <v>190684.85855965276</v>
      </c>
      <c r="B10" s="1">
        <v>821562.68068863137</v>
      </c>
      <c r="C10" s="1">
        <v>1775114.8928821236</v>
      </c>
      <c r="D10" s="1">
        <v>807628.55324206105</v>
      </c>
      <c r="E10" s="1">
        <v>117172</v>
      </c>
      <c r="F10" s="1">
        <v>14327395.371828888</v>
      </c>
      <c r="G10" s="1">
        <v>1255955.6773655138</v>
      </c>
      <c r="H10">
        <f>Score_Altman(A10,C10,B10,D10,E10,F10,G10)</f>
        <v>2.9900002479553223</v>
      </c>
    </row>
    <row r="11" spans="1:8" x14ac:dyDescent="0.25">
      <c r="A11" s="1">
        <v>0</v>
      </c>
      <c r="B11" s="1">
        <v>7825105.9082674235</v>
      </c>
      <c r="C11" s="1">
        <v>14544042.555444792</v>
      </c>
      <c r="D11" s="1">
        <v>7316226.6187108597</v>
      </c>
      <c r="E11" s="1">
        <v>448773</v>
      </c>
      <c r="F11" s="1">
        <v>20510119</v>
      </c>
      <c r="G11" s="1">
        <v>8205221.713796786</v>
      </c>
      <c r="H11">
        <f t="shared" si="0"/>
        <v>2.989997386932373</v>
      </c>
    </row>
    <row r="12" spans="1:8" x14ac:dyDescent="0.25">
      <c r="A12" s="1">
        <v>5900593.8207909316</v>
      </c>
      <c r="B12" s="1">
        <v>3465950.7568778675</v>
      </c>
      <c r="C12" s="1">
        <v>9547031.6205512825</v>
      </c>
      <c r="D12" s="1">
        <v>3680995.0178406173</v>
      </c>
      <c r="E12" s="1">
        <v>278393</v>
      </c>
      <c r="F12" s="1">
        <v>16526123</v>
      </c>
      <c r="G12" s="1">
        <v>4373170.4370672237</v>
      </c>
      <c r="H12">
        <f t="shared" si="0"/>
        <v>2.989999532699585</v>
      </c>
    </row>
    <row r="13" spans="1:8" x14ac:dyDescent="0.25">
      <c r="A13" s="1">
        <v>0</v>
      </c>
      <c r="B13" s="1">
        <v>7971424.0257442677</v>
      </c>
      <c r="C13" s="1">
        <v>15797211.19033963</v>
      </c>
      <c r="D13" s="1">
        <v>8422858.5234163851</v>
      </c>
      <c r="E13" s="1">
        <v>223340.55835720393</v>
      </c>
      <c r="F13" s="1">
        <v>24345390</v>
      </c>
      <c r="G13" s="1">
        <v>8199472.8565295143</v>
      </c>
      <c r="H13">
        <f t="shared" si="0"/>
        <v>2.989999532699585</v>
      </c>
    </row>
    <row r="14" spans="1:8" x14ac:dyDescent="0.25">
      <c r="A14" s="1">
        <v>1349808.1681865356</v>
      </c>
      <c r="B14" s="1">
        <v>5497567.6432119943</v>
      </c>
      <c r="C14" s="1">
        <v>11472054.556685964</v>
      </c>
      <c r="D14" s="1">
        <v>5768832.1651382176</v>
      </c>
      <c r="E14" s="1">
        <v>260482</v>
      </c>
      <c r="F14" s="1">
        <v>14274595</v>
      </c>
      <c r="G14" s="1">
        <v>5828171.2882046709</v>
      </c>
      <c r="H14">
        <f t="shared" si="0"/>
        <v>2.9900012016296387</v>
      </c>
    </row>
    <row r="15" spans="1:8" x14ac:dyDescent="0.25">
      <c r="A15" s="1">
        <v>583493.05946745712</v>
      </c>
      <c r="B15" s="1">
        <v>5724347.5192160858</v>
      </c>
      <c r="C15" s="1">
        <v>11700775.321843727</v>
      </c>
      <c r="D15" s="1">
        <v>6050542.3052512715</v>
      </c>
      <c r="E15" s="1">
        <v>406955</v>
      </c>
      <c r="F15" s="1">
        <v>14981919</v>
      </c>
      <c r="G15" s="1">
        <v>6119685.6907415604</v>
      </c>
      <c r="H15">
        <f t="shared" si="0"/>
        <v>2.9900012016296387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A</vt:lpstr>
      <vt:lpstr>B</vt:lpstr>
      <vt:lpstr> C</vt:lpstr>
      <vt:lpstr> D</vt:lpstr>
      <vt:lpstr> E</vt:lpstr>
      <vt:lpstr>Heatmap</vt:lpstr>
      <vt:lpstr>Diagramme circulaire</vt:lpstr>
      <vt:lpstr>prédiction A</vt:lpstr>
      <vt:lpstr>prédiction B</vt:lpstr>
      <vt:lpstr>prédiction C</vt:lpstr>
      <vt:lpstr>prédiction D</vt:lpstr>
      <vt:lpstr>prédictin 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P C</cp:lastModifiedBy>
  <dcterms:created xsi:type="dcterms:W3CDTF">2020-02-19T21:19:23Z</dcterms:created>
  <dcterms:modified xsi:type="dcterms:W3CDTF">2020-02-29T16:14:12Z</dcterms:modified>
</cp:coreProperties>
</file>